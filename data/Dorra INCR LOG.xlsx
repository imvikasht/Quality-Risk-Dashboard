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hidePivotFieldList="1" defaultThemeVersion="166925"/>
  <mc:AlternateContent xmlns:mc="http://schemas.openxmlformats.org/markup-compatibility/2006">
    <mc:Choice Requires="x15">
      <x15ac:absPath xmlns:x15ac="http://schemas.microsoft.com/office/spreadsheetml/2010/11/ac" url="M:\QA Department Users\srishti tiwari\5-08-26\"/>
    </mc:Choice>
  </mc:AlternateContent>
  <xr:revisionPtr revIDLastSave="0" documentId="13_ncr:1_{99FF16AB-5B30-497A-92BA-F0D2587FC153}" xr6:coauthVersionLast="47" xr6:coauthVersionMax="47" xr10:uidLastSave="{00000000-0000-0000-0000-000000000000}"/>
  <bookViews>
    <workbookView xWindow="-120" yWindow="-120" windowWidth="29040" windowHeight="15720" tabRatio="670" xr2:uid="{00000000-000D-0000-FFFF-FFFF00000000}"/>
  </bookViews>
  <sheets>
    <sheet name="NCR Register" sheetId="2" r:id="rId1"/>
  </sheets>
  <definedNames>
    <definedName name="_xlnm._FilterDatabase" localSheetId="0" hidden="1">'NCR Register'!$A$12:$U$24</definedName>
    <definedName name="_xlnm.Print_Area" localSheetId="0">'NCR Register'!$A$1:$U$24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7" i="2" l="1"/>
  <c r="T2" i="2"/>
  <c r="H4" i="2" l="1"/>
</calcChain>
</file>

<file path=xl/sharedStrings.xml><?xml version="1.0" encoding="utf-8"?>
<sst xmlns="http://schemas.openxmlformats.org/spreadsheetml/2006/main" count="173" uniqueCount="119">
  <si>
    <t>Remarks</t>
  </si>
  <si>
    <t>NCR closed date by COMPANY</t>
  </si>
  <si>
    <t>Correction Proposed</t>
  </si>
  <si>
    <t>Root Cause</t>
  </si>
  <si>
    <t>Description of Non-Conformance</t>
  </si>
  <si>
    <t>NCR Status</t>
  </si>
  <si>
    <t>Closed NCR Submittal Date</t>
  </si>
  <si>
    <t>ACD</t>
  </si>
  <si>
    <t>Area of Function</t>
  </si>
  <si>
    <t>Discipline</t>
  </si>
  <si>
    <t>NCR Submittal Date</t>
  </si>
  <si>
    <t>NCR Catogory</t>
  </si>
  <si>
    <t>Issue Date</t>
  </si>
  <si>
    <t>NCR No.</t>
  </si>
  <si>
    <t>SN</t>
  </si>
  <si>
    <t>OPEN</t>
  </si>
  <si>
    <t>RFI date for closing NCR</t>
  </si>
  <si>
    <t>Preventive Action Proposed</t>
  </si>
  <si>
    <t>Date:</t>
  </si>
  <si>
    <t>#</t>
  </si>
  <si>
    <t>SUMMARY</t>
  </si>
  <si>
    <t>ISSUED</t>
  </si>
  <si>
    <t>CLOSED</t>
  </si>
  <si>
    <t>AREA OF FUNCTION</t>
  </si>
  <si>
    <t>FABRICATION</t>
  </si>
  <si>
    <t>OFFSHORE</t>
  </si>
  <si>
    <t>OTHER</t>
  </si>
  <si>
    <t>ENGINEERING</t>
  </si>
  <si>
    <t>PROCUREMENT</t>
  </si>
  <si>
    <t>VENDOR / SUPPLIER</t>
  </si>
  <si>
    <t>OFFSHORE CONSTRUCTION</t>
  </si>
  <si>
    <t xml:space="preserve">PRE-COMMISSIONING </t>
  </si>
  <si>
    <t>SCHEDULE Q</t>
  </si>
  <si>
    <t>NON-CONFORMANCE REPORT (NCR) REGISTER</t>
  </si>
  <si>
    <t>Repeated 
Yes / No</t>
  </si>
  <si>
    <r>
      <t xml:space="preserve">PROJECT TITLE: </t>
    </r>
    <r>
      <rPr>
        <sz val="18"/>
        <rFont val="Calibri"/>
        <family val="2"/>
        <scheme val="minor"/>
      </rPr>
      <t>DORRA GAS WELL HEAD PLATFORM JACKETS PROJECT</t>
    </r>
  </si>
  <si>
    <t>Minor</t>
  </si>
  <si>
    <t>Structure</t>
  </si>
  <si>
    <t>Construction</t>
  </si>
  <si>
    <t>Failure &amp; Evidence</t>
  </si>
  <si>
    <t>Corrective Action/Preventive Action Proposed</t>
  </si>
  <si>
    <t>Verification of Correction and Corrective/Preventive Action</t>
  </si>
  <si>
    <t>No</t>
  </si>
  <si>
    <t>Closed</t>
  </si>
  <si>
    <t>Open</t>
  </si>
  <si>
    <t>DORRA-PKG1-INCR-027</t>
  </si>
  <si>
    <t xml:space="preserve">During the dimensional inspection of the West Boat Landing (GWHP02 Jacket- Drawing No. 8-0604-KA-187539-B-MFF-SH01 Rev. 00E), the Leg-B1 To centre Leg of west boat landing distance not meeting with drawing requirement. as per drawing required distance12700 mm &amp; actual measured 12685 mm which violate the requirement of approved procedure No. QM-0604-PL-1306) </t>
  </si>
  <si>
    <t xml:space="preserve">This violates requirement of approved procedure No. QM-0604-PL-1306 (PROCEDURE FOR STRUCTURAL DIMENSIONAL 
INSPECTION &amp; CONTROL Rev. B) </t>
  </si>
  <si>
    <t xml:space="preserve">Joint T1 &amp; T4 drawing: 8-0604-KA-187539-B-MFF-SH01 Rev. 00E will be cut and rewelded for distortion correction. Proper precaution 
will be taken care to minimise weld distortion during welding. </t>
  </si>
  <si>
    <t xml:space="preserve">Straightness deviation occurred in West Boat Landing (GWHP02) Leg B1 because of Distortion due to SAW welding. 
Inadequate supervisor which caused not maintaining continuous rotation until sufficient cooling was achieved as per good Engineering 
practice, resulted in distortion and deviation from straightness requirements. 
 </t>
  </si>
  <si>
    <t xml:space="preserve">TBT will be conduct for Welder, welding foreman and fabrication supervisor to aware them regarding distortion control methods. 
Straightness check will be performed immediately after welding completion. 
 </t>
  </si>
  <si>
    <t>DORRA-PKG1-INCR-028</t>
  </si>
  <si>
    <t>On 13-Jul-2026, during Fit-up inspection against Fit-up Request No.: DORRA-JACKET-W2-FTU-438 (Joint No: T36 &amp; T37), it was observed that the long Seam orientation of Item No. CF453 will be at 90° as per Drawing No. 8-0604-KA-187570-B-MFF-001, Rev. 00A. However, during Fit up inspection it was observed that, the long seam orientation was placed at 270°, where seam orientation of Item# CF453 was not in-line with the approved_shop drawing requirement</t>
  </si>
  <si>
    <t>Not as per Approved Shop Drawing requirement &amp; Fit up Inspection request attached.</t>
  </si>
  <si>
    <t>DORRA-PKG1-INCR-029</t>
  </si>
  <si>
    <t>On 13-Jul-2026, during a Surveillance at Gantry-1, Yard-3, it was observed that Drawing No.: 8-0604-KA-188056-F-MFF-001 Rev: 00D Jacket: GWHP-06 / CGF3), Stiffener Joint Nos. P-52 to P-54 (Category C-D &amp; C-C) had been welded without acceptance of post-weld 
visual inspection and NDT acceptance for Joint No. TK-178 (Drawing No: 8-0604-KA-188055-F-MFF-001 Rev: 00B).Further investigation revealed that the fit-up inspection of the stiffener joints had not been accepted by QC&amp;I prior to welding. Despite this, welding activities were carried out, bypassing the mandatory stage inspection requirements.This observation constitutes a violation of the approved ITP QM-0604-ITP-1303-Rev.Bstage inspection sequence, specifically Clause 3.5, which stipulates that Fit-Up Inspection is a HOLD Point for L&amp;T QC&amp;I and must be accepted before commencement of welding activities</t>
  </si>
  <si>
    <t>ITP Stage Inspection Clause No: 3.5 Violation &amp; refer attached Photographs.</t>
  </si>
  <si>
    <t>DORRA-PKG1-INCR-030</t>
  </si>
  <si>
    <t>On 14-Jul-2026, during a surveillance inspection at Jacket GWHP-06, Yard-1, it was observed that partial root welding of the Barge Bumper TKY joints had been carried out without the required fit-up inspection being performed and accepted by KJO prior to the welding.</t>
  </si>
  <si>
    <t>Partial root welding of Barge Bumper TKY Joint No. TK-1 (Category A-B) as per Drawing No. 8-0604-KA-188043-F-MFF-001-R00E was carried out without the required fit-up inspection being performed and accepted by KJO prior to welding.
This is a violation of the approved ITP, QM-0604-ITP-1303 Rev. B, Clause 3.4, which specifies that Fit-Up Inspection is a HOLD Point requiring KJO inspection and acceptance prior to welding.
Refer attached Photographs.</t>
  </si>
  <si>
    <t>DORRA-PKG1-INCR-031</t>
  </si>
  <si>
    <t xml:space="preserve">During the review of the approved Shop Drawing, it was observed that in the King Post Arrangement Drawing, the component category of Item No. KPP03 was incorrectly specified as Category C in the Bill of Material (BOM) for Jacket Nos. GWHP-04 and GWHP-06.
Further investigation confirmed that the following items are required to be classified under Category B instead of Category C, as per Table-1 of SAES-W-013. </t>
  </si>
  <si>
    <t>Not comply the Table-1 of SAES-W-013 &amp; Refer attached Annexure-1 for Details</t>
  </si>
  <si>
    <t>Joint No. TK-1 (Category Item A-B) is located adjacent to Joint No. TK-2 (Category Item B-D), and both joints had been inspected by
Contractor QC. Joint TK-2 was a non-RFI joint and had already been inspected and cleared by Contractor QC on 14-Jul-2026. The 
execution team was instructed to deploy the welder for welding on Joint TK-2 only. However, due to inadequate identification and 
verification of the designated joint prior to welding, the concerned execution personnel mistakenly deployed the welder on Joint TK-1.
As a result, partial root welding of Joint TK-1 was carried out without ensuring completion of the mandatory Fit-Up Inspection HOLD 
Point and obtaining KJO acceptance as required by the approved I I P. I he failure of the execution personnel to verify the joint number 
and inspection clearance status prior to commencing welding led to this non-conformance.</t>
  </si>
  <si>
    <t>Welding activity was stopped immediately upon identification of the non-conformance. The required Fit-Up Inspection RFI will be raised
for KJO inspection with the approved ITP requirements. The weld area shall be subjected to NDT to verify the absence of surface 
discontinuities.</t>
  </si>
  <si>
    <t>The concerned execution personnel and Welding Inspectors shall be briefed on the importance of strict compliance with the approved 
ITP requirements. Mandatory verification of joint identification and inspection clearance status shall be carried out by the execution team 
before deploying welders to any joint.
In addition, toolbox talks and awareness sessions shall be conducted for all concerned personnel to reinforce adherence to inspection 
requirements and the importance of verifying joint identification before welding. Periodic monitoring and random audits shall be 
performed by QC to verify compliance with approved ITP requirements and to prevent the recurrence of similar non-conformances</t>
  </si>
  <si>
    <t>During Checking of the Drawings Engineer has Considered below 2 points.
1) Engineer has considered as cover plate and Component Category as C as per note no.3 provided “major component” column in the 
approved standard Drawings no. KA-187329.
2) Also, Boat landing of category C Welded to this plate.
However, as per note 1 ofTable-1 of SAES-W-013, Standoff for boat landing shall be considered as per Tubular size. Note is mentioned 
as tubular only. However, Plate also should be considered as per size and as per size plate category shall be B only</t>
  </si>
  <si>
    <t>All affected Drawings will be revised to reflect the correct component classification as Category “B".</t>
  </si>
  <si>
    <t>The Engineering Team shall perform a comprehensive review of all seven Jacket drawings to identify any similar discrepancies. 
Necessary revisions will be incorporated into the drawings wherever corrections are found to be required.</t>
  </si>
  <si>
    <t>DORRA-PKG1-INCR-032</t>
  </si>
  <si>
    <t xml:space="preserve">During the review of the approved Shop Drawing, it was observed that in the Pile GA Drawing, the component category of Item Stabbing Guide (No: PL3 to PL6) Material ASTM A572 Gr. 50 was incorrectly specified as Category B in the Bill of Material (BOM for Jacket Nos. GWHP-05 Drawing No: 8-0604-KA-187945-E-MFF-Sh-2 Rev: 00C. 
Further investigation confirmed that the following items are required to be classified under Category C instead of Category B, as 
Table-1 of SAES-W-013. </t>
  </si>
  <si>
    <t xml:space="preserve">Not comply the Table-1 of SAES-W-013 </t>
  </si>
  <si>
    <t>DORRA-PKG1-INCR-033</t>
  </si>
  <si>
    <t xml:space="preserve"> On 22 July 2026, during the final dimensional inspection at PS-4, Yard-3, it was observed that for the Bracing of CGF-4 of Jacket No. GWHP07 (Drawing No. 8-0604-KA-188178-G-MFF-Sh-1 Rev. 00A), the required linear dimensions at the CAN working point were 6040 mm and 6040 mm. However, the actual measured dimensions were found to be 6065 mm and 6052 mm, respectively.
Further investigation confirmed that the horizontal bracings connected to the CAN joints are misaligned, resulting in deviation of the CAN working point dimensions from the approved drawing requirements.</t>
  </si>
  <si>
    <t>Not comply the Approved shop drawing dimensions.</t>
  </si>
  <si>
    <t xml:space="preserve">Case 1: The existing sub-assembly containing Joint Nos. T-40 and T-41 Orientation was not taken as a reference for the connected Joint Nos. T-36 and T-37. As a result, the long seam orientation of Item No. CF453 was incorrectly positioned.
Case 2: The Site Construction Supervisor failed to correctly interpret the long-seam orientation requirement indicated in the approved shop drawing, which resulted in the incorrect long seam orientation of the cone </t>
  </si>
  <si>
    <t>Case 1: Dismantle the existing Fit-up, Surface NDT (DPT) will be carried out for tack weld removal area and re-Fit-up will be carried out for Item No.: CF453 to the correct Long Seam orientation of 90° as per approved Drawing and subsequently Fit-up will be re-offered for Inspection.
Case 2: Engineering shall review the installed cone long-seam orientation, and if deemed acceptable in accordance with site conditions and design requirements, the drawing will be revised to incorporate the approved long seam configuration.</t>
  </si>
  <si>
    <t>Toolbox talks/awareness sessions will be conducted for concerned shop Fabrication team on the importance of complying the long 
seam orientation requirements and ensuring correct interpretation of approved Drawings before Fit-up and alignment activities.</t>
  </si>
  <si>
    <t xml:space="preserve">All 7 Nos. of Conductor Guide Stub joints had accepted Visual inspection and the applicable NDT requirements, and construction activities had progressed accordingly. Based on this, the Construction Supervisor mistakenly assumed that all 8 Nos of Conductor Guide Stub joints had been visually accepted and completed the required NDT. Consequently, the stiffener joint was welded without obtaining weld visual acceptance for Joint No. TK-178 prior to welding. Moreover, Stiffener Joints Fit-up Inspection clearance also 
missed out. </t>
  </si>
  <si>
    <t>The existing welded stiffener will be removed, and Surface NDT (MPT) will be  performed on the ground area to verify its integrity and ensure it is free from defects.Thereafter, a new stiffener will be installed, and all applicable inspection activities will be carried out in accordance with the approved ITP.</t>
  </si>
  <si>
    <t>An awareness session will be conducted for the Construction team to reinforce project quality requirements and ensure compliance with approved inspection, testing, and construction procedures</t>
  </si>
  <si>
    <t>Design &amp; Engineering</t>
  </si>
  <si>
    <t xml:space="preserve">As per the initial design drawings, the material grade was specified as PL2, and the corresponding fabrication drawings conservatively classified the component as Category B. Subsequently, in the  final approved design drawings, the material grade was revised to PL4. 
While the material grade revision was incorporated into the fabrication drawings, the corresponding component category was inadvertently not updated as required. Typically, material grade revisions are made to a higher grade, which does not necessitate a change in component category. However, in this instance, due to the change in material grade requirements, the associated component category update was overlooked, resulting in the component category remaining unchanged in the fabrication drawing. 
 </t>
  </si>
  <si>
    <t xml:space="preserve">Applicable shop Drawings will be revised with Component Category as ‘C’ </t>
  </si>
  <si>
    <t xml:space="preserve">Same will be updated for all 7 Jackets &amp; The Design team will be formally apprised to thoroughly verify and validate the component category in fabrication drawings whenever there is a revision in material grade. Emphasis will be placed on cases where the material grade is downgraded or lowered, ensuring that all related component classifications are reviewed and updated in accordance with project requirements prior to drawing issuance. </t>
  </si>
  <si>
    <t>The fabrication team anticipated a higher level of welding shrinkage due to the large number of joints involved in the bracing assembly.
However, after completion of all welding activities, the actual shrinkage was less than expected, resulting in the inability to achieve the 
required CAN dimensions</t>
  </si>
  <si>
    <t>Joints T-39 and T-42 will be cut and re-welded to achieve the required dimensions in accordance with the approved drawing. Following
joint cutting, the weld edge preparation will be inspected, and Penetrant Testing (PT) will be performed on the prepared weld edges 
to ensure they are free from defects prior to re-Fit-up. After re-fit-up, the assembly will be re-offered for inspection to verily compliance 
with the specified CAN dimensions of the bracing as per the approved shop drawing.</t>
  </si>
  <si>
    <t>A Toolbox Talk (TBT) will be conducted for the fabrication team to raise awareness regarding the importance of accounting for welding 
shrinkage allowances during assembly fabrication, as well as the need for effective monitoring and control of critical dimensions 
throughout the fabrication process to ensure compliance with approved drawing requirements.</t>
  </si>
  <si>
    <t>DORRA-PKG1-INCR-035</t>
  </si>
  <si>
    <t>During fit-up inspection of Anode Joints at MODULE: JACKET-GWHP05, CGF-3, Gantry No. 1 against Fit-up Report No. DORRA-JACKET-W5-FTU-607 (Joint no: P-3,4,25,26,29,30,31,32, &amp; AN-3,4,25,26,29,30,31,32) it was 
observed that the joints were offered for inspection without proper cleaning. Rust and foreign matter were found 
near the weld joint area.</t>
  </si>
  <si>
    <t>Saudi Aramco Engineering Standard SAES-W-013 Clause No: 10.3.1 Violation &amp; refer attached Photographs.</t>
  </si>
  <si>
    <t>DORRA-PKG1-INCR-034</t>
  </si>
  <si>
    <t>During a surveillance inspection conducted at MFF-1 on 25-Jul-2026, it was observed in the shop fabrication area that a welding machine was found without a valid calibration. Welding Machine SL No: - D10318D0066.</t>
  </si>
  <si>
    <t>It was observed in the shop fabrication area that a welding machine was found without a valid calibration. This is violation of approved procedure QM-0604-PL-1301 -Rev. C, Clause 6.2(m), which states: “Equipment which is found out of calibration shall be identified separately for maintenance or disposition.”
Photo is attached for reference.</t>
  </si>
  <si>
    <t>DORRA-PKG1-INCR-036</t>
  </si>
  <si>
    <t xml:space="preserve">Material Identification Inspection was offered to the L&amp;T QC Inspector on 27 July 2026 vide Report No. DORRA-JACKET-W3-MI-861 with incorrect IMIR ID DORRA7J-STR-000052-5-1. The correct IMIR ID is DORRA7J-STR-000048-84-1.
Jacket No: GWHP03, Drawing No: 8-0604-KA-187697-C-MFF-002 Rev 00C </t>
  </si>
  <si>
    <t xml:space="preserve"> As per Approved procedure QM-0604-PL-1305 Clause No. 6.7.1 “QC inspector shall examine the physical state of the material and check the correctness and completeness of identification marking such as mill markings, IMIR No, ID No, Heat No, Drawing No (If applicable) etc. on the original item. Thereafter the inspector will inspect the material / part marked w.r.t the governing fabrication drawing issued for construction and Inward material inspection report. Each part being inspected should bear markings such as IMIR No / ID No, Drawing No, (Where required) and the part No. QC inspector shall ensure that markings must be recorded / transferred for each part, so that each plate / item will be positively identified in its position in the completed product” </t>
  </si>
  <si>
    <t>DORRA-PKG1-INCR-037</t>
  </si>
  <si>
    <t xml:space="preserve"> Mechanical </t>
  </si>
  <si>
    <t xml:space="preserve">During weld visual inspection at GWHP-03, it has been observed that Welder numbers mentioned in the Matrix box and the welders offered in weld visual inspection request found mismatch. Details are as below-  Drawing no: - 8-0604-188030-MFF-SH-3, Rev.00C 
Weld visual report no: - DORRA-JACKET-W3-WV-555 Joint no: L-4  
Weld visual request welder no: CG79/DE53/BB90/BQ81  
Actual welder no: CG79/DE53 </t>
  </si>
  <si>
    <t xml:space="preserve">This violates requirement of QM-0604-PL-1310; Rev.0 – Procedure for weld visual inspection  
Clause 8.4 “Engineer Manufacturing shall ensure the completeness for Weld Visual inspection and offer to Welding Inspector.“  
Clause 8.5 “Prior to Physical inspection, Welding QC Inspector shall verify details of weld visual report of offered weld joint with respect to approved drawings, applicable WPS, Welder symbol against Qualified welder list of project.“. </t>
  </si>
  <si>
    <t>DORRA-PKG1-INCR-038</t>
  </si>
  <si>
    <t>During weld visual inspection at GWHP04 Jacket, MFF-1, on 30-Jul-2026, it was observed that joint BY-192 had been offered for visual inspection before completion of the welding activity.</t>
  </si>
  <si>
    <t>Due to sudden water drizzling, the previously applied weldable primer at the fit-up joint locations had faded/washed off. The Construction
team failed to identify this condition prior to offering the joints for QC&amp;I inspection.</t>
  </si>
  <si>
    <t>The affected rusted locations will be cleaned to the required surface condition, followed by re-application of weldable primer. Thereafter,the joints will be re-offered for QC&amp;I Fit-up Inspection.</t>
  </si>
  <si>
    <t>Extra care will be exercised during the rainy season, and the condition of all fit-up joints will be re-verified prior to offering them to QC&amp;I for inspection. In addition, a Toolbox Talk (TBT) will be conducted for all Construction personnel to reinforce the requirements and ensure compliance with all inspection prerequisites before fit-up offering to QC&amp;I.</t>
  </si>
  <si>
    <t xml:space="preserve">The welding machine (SL No. D10318D0066) was kept by the Welding Foreman near the shop fabrication area for calibration. However,due to an oversight, the Welding Foreman failed to inform the maintenance team that the machine required calibration. Consequently, the machine remained in the fabrication area without valid calibration identification. Although the machine was not used for any welding activity. Due to inadequate communication and failure to segregate the machine pending for calibration. </t>
  </si>
  <si>
    <t xml:space="preserve">The welding machine (SL No. D10318D0066) was immediately removed from the fabrication area upon. Machine was sent for calibration. All welding machines in the fabrication area were verified to ensure valid calibration status and proper identification in accordance with the approved procedure. </t>
  </si>
  <si>
    <t xml:space="preserve">Awareness training shall be conducted for welding foreman and execution team on the requirements of Procedure QM-0604-PL-1301 Rev. C, regarding the identification and segregation of out-of-calibration equipment. Periodic verification of welding machine calibration status shall be carried out by the welding supervisors to ensure that only valid calibrated equipment is available in fabrication areas. </t>
  </si>
  <si>
    <t xml:space="preserve">The mismatch occurred due to an error during the preparation of the weld visual inspection request, where welder numbers BB90 and BQ81 were inadvertently included without verifying the actual weld matrix box details. </t>
  </si>
  <si>
    <t xml:space="preserve">Verified the actual welder stamp No.from weld matrix box. Confirmed that the weld joint L-4 was welded only by CG79 and DE53. Revised weld visual inspection request DORRA-JACKET-W3-WV-557 in which reflect the correct welder numbers and submitted to QC for inspection. </t>
  </si>
  <si>
    <t xml:space="preserve">Implement a mandatory verification process whereby all weld inspection requests are cross-checked with welder traceability records and Weld matrix box details before submission to QC. 
Provide awareness/training to construction personnel on the importance of weld matrix box and correct weld number in inspection 
request. </t>
  </si>
  <si>
    <t>TBT conducted to aware personnel about requirement of dimension &amp; distortion control after welding. Both joints T1 CRW D &amp; T4 CRW
D weld visual has been accepted after cutting through RFI DORRA 7J -MFF-M-03220. Radiography of both joints performed and reports 
are accepted. Straightness has been checked and found within tolerance limit.</t>
  </si>
  <si>
    <t>Case 1: Dismantle the existing Fit-up and Surface NDT (DPT) carried out for tack weld removal area and found satisfactory (DPT Report No: 33332)
Re-Fit-up had been carried out for Item No.: CF453 to the correct Long Seam orientation of 90° and inspection carried out &amp; found accepted via RFI No: DORRA7J-MFF-M-03345.
Case 2: Engineering reviewed the installed cone long-seam orientation and revised the drawing (Drawing No: 8-0604-KA-187681-C-MFF-001-R00D) in accordance with site conditions and design requirements.
Subsequently Fit-up Inspection was carried out as per revised drawing &amp; accepted via RFI No: DORRA7J-MFF-M-03313.</t>
  </si>
  <si>
    <t>1.The existing stiffener was removed by grinding, followed by surface NDT (MPT), and the result was found satisfactory (MPT Report
No. 108169).
2.Post Weld Visual Inspection of Joint No. TK-178 was carried out and accepted vide RFI No. DORRA 7J-MFF-M-03259.
3.A new stiffener was installed, and the required inspection was carried out as per the ITP stages (Refer RFI No. DORRA 7J-MFF-M-
03405).
4.As a preventive action, a Toolbox Talk (TBT) was conducted with the Fabrication and execution team to ensure compliance with ITP 
requirements and follow for sequence of activities.</t>
  </si>
  <si>
    <t>Joint No. BY-192 was inadvertently offered for Weld Visual Inspection through Request No. DORRA-JACKET-W4-WV-776 prior to the
completion of welding activities. This occurred due to inadequate verification of the weld completion status by the Welding Foreman and 
the execution team before raising the inspection request. This is in violation of the requirements specified in QM-0604-PL-1310 Rev. 0, 
Clause 8.4.</t>
  </si>
  <si>
    <t>The Weld Visual Inspection Request No. DORRA-JACKET-W4-WV-776 for Joint No. BY-192 was immediately withdrawn upon identification of the non-conformance. The remaining welding activity will be completed in accordance with the approved WPS prior to re-submission of the joint for Weld Visual Inspection.</t>
  </si>
  <si>
    <t>A toolbox talk will be conducted for the Welding Foreman and execution personnel to reinforce awareness ot their roles and responsibilitios, particularly regarding the verification of weld completion before submitting inspection requests.</t>
  </si>
  <si>
    <t xml:space="preserve">it was observed that joint BY-192 had been offered for visual Inspection before completion of the welding activity through request no -DQRRA-JACKET-W4-WV-776. This is a violation of approved procedure QM 0604 PL 1310-Rov.0, Clause 8.4, which states: “Engineer 
Manufacturing shall ensure the completeness for Weld Visual inspection and offer to Welding Inspector.”
Photo of incomplete weld and weld visual request are attached for reference.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</si>
</sst>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800]dddd\,\ mmmm\ dd\,\ yyyy"/>
    <numFmt numFmtId="165" formatCode="[$-409]dd/mmm/yy;@"/>
  </numFmts>
  <fonts count="23" x14ac:knownFonts="1">
    <font>
      <sz val="11"/>
      <color theme="1"/>
      <name val="Calibri"/>
      <family val="2"/>
      <scheme val="minor"/>
    </font>
    <font>
      <sz val="10"/>
      <name val="Arial"/>
      <family val="2"/>
    </font>
    <font>
      <sz val="10"/>
      <name val="Arial"/>
      <family val="2"/>
    </font>
    <font>
      <sz val="12"/>
      <name val="Tahoma"/>
      <family val="2"/>
    </font>
    <font>
      <sz val="16"/>
      <color theme="1"/>
      <name val="Arial"/>
      <family val="2"/>
    </font>
    <font>
      <sz val="12"/>
      <name val="Calibri"/>
      <family val="2"/>
      <scheme val="minor"/>
    </font>
    <font>
      <b/>
      <sz val="18"/>
      <name val="Calibri"/>
      <family val="2"/>
      <scheme val="minor"/>
    </font>
    <font>
      <sz val="18"/>
      <name val="Calibri"/>
      <family val="2"/>
      <scheme val="minor"/>
    </font>
    <font>
      <b/>
      <sz val="12"/>
      <color theme="3"/>
      <name val="Calibri"/>
      <family val="2"/>
      <scheme val="minor"/>
    </font>
    <font>
      <b/>
      <sz val="12"/>
      <name val="Calibri"/>
      <family val="2"/>
      <scheme val="minor"/>
    </font>
    <font>
      <b/>
      <sz val="10"/>
      <name val="Arial"/>
      <family val="2"/>
    </font>
    <font>
      <sz val="12"/>
      <color theme="3"/>
      <name val="Calibri"/>
      <family val="2"/>
      <scheme val="minor"/>
    </font>
    <font>
      <sz val="16"/>
      <name val="Calibri"/>
      <family val="2"/>
      <scheme val="minor"/>
    </font>
    <font>
      <sz val="16"/>
      <name val="Tahoma"/>
      <family val="2"/>
    </font>
    <font>
      <sz val="16"/>
      <name val="Arial"/>
      <family val="2"/>
    </font>
    <font>
      <sz val="8"/>
      <name val="Calibri"/>
      <family val="2"/>
      <scheme val="minor"/>
    </font>
    <font>
      <b/>
      <sz val="36"/>
      <name val="Arial"/>
      <family val="2"/>
    </font>
    <font>
      <b/>
      <sz val="16"/>
      <name val="Calibri"/>
      <family val="2"/>
      <scheme val="minor"/>
    </font>
    <font>
      <sz val="14"/>
      <name val="Calibri"/>
      <family val="2"/>
      <scheme val="minor"/>
    </font>
    <font>
      <b/>
      <sz val="22"/>
      <name val="Calibri"/>
      <family val="2"/>
      <scheme val="minor"/>
    </font>
    <font>
      <sz val="10"/>
      <name val="Calibri"/>
      <family val="2"/>
      <scheme val="minor"/>
    </font>
    <font>
      <b/>
      <sz val="15"/>
      <name val="Arial"/>
      <family val="2"/>
    </font>
    <font>
      <sz val="15"/>
      <name val="Arial"/>
      <family val="2"/>
    </font>
  </fonts>
  <fills count="6">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92D050"/>
        <bgColor indexed="64"/>
      </patternFill>
    </fill>
  </fills>
  <borders count="20">
    <border>
      <left/>
      <right/>
      <top/>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s>
  <cellStyleXfs count="2">
    <xf numFmtId="0" fontId="0" fillId="0" borderId="0"/>
    <xf numFmtId="0" fontId="1" fillId="0" borderId="0"/>
  </cellStyleXfs>
  <cellXfs count="71">
    <xf numFmtId="0" fontId="0" fillId="0" borderId="0" xfId="0"/>
    <xf numFmtId="0" fontId="1" fillId="0" borderId="0" xfId="1"/>
    <xf numFmtId="0" fontId="2" fillId="0" borderId="0" xfId="1" applyFont="1"/>
    <xf numFmtId="0" fontId="4" fillId="0" borderId="0" xfId="1" applyFont="1" applyAlignment="1">
      <alignment horizontal="center" vertical="center"/>
    </xf>
    <xf numFmtId="0" fontId="5" fillId="0" borderId="0" xfId="1" applyFont="1" applyAlignment="1">
      <alignment horizontal="center" vertical="center"/>
    </xf>
    <xf numFmtId="0" fontId="7" fillId="0" borderId="0" xfId="1" applyFont="1"/>
    <xf numFmtId="0" fontId="8" fillId="0" borderId="8" xfId="1" applyFont="1" applyBorder="1" applyAlignment="1">
      <alignment horizontal="center" vertical="center"/>
    </xf>
    <xf numFmtId="0" fontId="9" fillId="3" borderId="7" xfId="1" applyFont="1" applyFill="1" applyBorder="1" applyAlignment="1">
      <alignment horizontal="center" vertical="center"/>
    </xf>
    <xf numFmtId="0" fontId="9" fillId="3" borderId="7" xfId="1" applyFont="1" applyFill="1" applyBorder="1" applyAlignment="1">
      <alignment horizontal="center" vertical="center" wrapText="1"/>
    </xf>
    <xf numFmtId="0" fontId="9" fillId="3" borderId="6" xfId="1" applyFont="1" applyFill="1" applyBorder="1" applyAlignment="1">
      <alignment horizontal="center" vertical="center" wrapText="1"/>
    </xf>
    <xf numFmtId="0" fontId="9" fillId="4" borderId="7" xfId="1" applyFont="1" applyFill="1" applyBorder="1" applyAlignment="1">
      <alignment horizontal="center" vertical="center" wrapText="1"/>
    </xf>
    <xf numFmtId="0" fontId="9" fillId="4" borderId="6" xfId="1" applyFont="1" applyFill="1" applyBorder="1" applyAlignment="1">
      <alignment horizontal="center" vertical="center" wrapText="1"/>
    </xf>
    <xf numFmtId="0" fontId="10" fillId="0" borderId="0" xfId="1" applyFont="1"/>
    <xf numFmtId="0" fontId="11" fillId="0" borderId="5" xfId="1" applyFont="1" applyBorder="1" applyAlignment="1">
      <alignment horizontal="center" vertical="center"/>
    </xf>
    <xf numFmtId="0" fontId="12" fillId="0" borderId="4" xfId="1" applyFont="1" applyBorder="1" applyAlignment="1">
      <alignment horizontal="center" vertical="center"/>
    </xf>
    <xf numFmtId="0" fontId="12" fillId="0" borderId="3" xfId="1" applyFont="1" applyBorder="1" applyAlignment="1">
      <alignment horizontal="center" vertical="center" wrapText="1"/>
    </xf>
    <xf numFmtId="0" fontId="12" fillId="0" borderId="4" xfId="1" applyFont="1" applyBorder="1" applyAlignment="1">
      <alignment horizontal="center" vertical="center" wrapText="1"/>
    </xf>
    <xf numFmtId="0" fontId="13" fillId="0" borderId="3" xfId="1" applyFont="1" applyBorder="1" applyAlignment="1">
      <alignment vertical="center" wrapText="1"/>
    </xf>
    <xf numFmtId="0" fontId="14" fillId="0" borderId="4" xfId="1" applyFont="1" applyBorder="1"/>
    <xf numFmtId="0" fontId="13" fillId="0" borderId="4" xfId="1" applyFont="1" applyBorder="1" applyAlignment="1">
      <alignment horizontal="center" vertical="center" wrapText="1"/>
    </xf>
    <xf numFmtId="0" fontId="13" fillId="0" borderId="3" xfId="1" applyFont="1" applyBorder="1" applyAlignment="1">
      <alignment horizontal="center" vertical="center" wrapText="1"/>
    </xf>
    <xf numFmtId="0" fontId="11" fillId="0" borderId="2" xfId="1" applyFont="1" applyBorder="1" applyAlignment="1">
      <alignment horizontal="center" vertical="center"/>
    </xf>
    <xf numFmtId="0" fontId="12" fillId="0" borderId="1" xfId="1" applyFont="1" applyBorder="1" applyAlignment="1">
      <alignment horizontal="center" vertical="center"/>
    </xf>
    <xf numFmtId="0" fontId="12" fillId="0" borderId="1" xfId="1" applyFont="1" applyBorder="1" applyAlignment="1">
      <alignment horizontal="center" vertical="center" wrapText="1"/>
    </xf>
    <xf numFmtId="0" fontId="14" fillId="0" borderId="1" xfId="1" applyFont="1" applyBorder="1"/>
    <xf numFmtId="0" fontId="13" fillId="0" borderId="1" xfId="1" applyFont="1" applyBorder="1" applyAlignment="1">
      <alignment horizontal="center" vertical="center" wrapText="1"/>
    </xf>
    <xf numFmtId="0" fontId="13" fillId="0" borderId="13" xfId="1" applyFont="1" applyBorder="1" applyAlignment="1">
      <alignment horizontal="center" vertical="center" wrapText="1"/>
    </xf>
    <xf numFmtId="0" fontId="11" fillId="0" borderId="0" xfId="1" applyFont="1" applyAlignment="1">
      <alignment horizontal="center" vertical="center"/>
    </xf>
    <xf numFmtId="0" fontId="5" fillId="0" borderId="0" xfId="1" applyFont="1" applyAlignment="1">
      <alignment horizontal="center" vertical="center" wrapText="1"/>
    </xf>
    <xf numFmtId="0" fontId="3" fillId="0" borderId="0" xfId="1" applyFont="1" applyAlignment="1">
      <alignment vertical="center"/>
    </xf>
    <xf numFmtId="0" fontId="20" fillId="0" borderId="0" xfId="1" applyFont="1"/>
    <xf numFmtId="0" fontId="9" fillId="4" borderId="17" xfId="1" applyFont="1" applyFill="1" applyBorder="1" applyAlignment="1">
      <alignment horizontal="center" vertical="center" wrapText="1"/>
    </xf>
    <xf numFmtId="0" fontId="13" fillId="0" borderId="18" xfId="1" applyFont="1" applyBorder="1" applyAlignment="1">
      <alignment vertical="center" wrapText="1"/>
    </xf>
    <xf numFmtId="0" fontId="13" fillId="0" borderId="18" xfId="1" applyFont="1" applyBorder="1" applyAlignment="1">
      <alignment horizontal="center" vertical="center" wrapText="1"/>
    </xf>
    <xf numFmtId="0" fontId="13" fillId="0" borderId="19" xfId="1" applyFont="1" applyBorder="1" applyAlignment="1">
      <alignment horizontal="center" vertical="center" wrapText="1"/>
    </xf>
    <xf numFmtId="0" fontId="21" fillId="2" borderId="8" xfId="1" applyFont="1" applyFill="1" applyBorder="1" applyAlignment="1">
      <alignment horizontal="center" vertical="center" wrapText="1"/>
    </xf>
    <xf numFmtId="0" fontId="21" fillId="2" borderId="7" xfId="1" applyFont="1" applyFill="1" applyBorder="1" applyAlignment="1">
      <alignment horizontal="center" vertical="center" wrapText="1"/>
    </xf>
    <xf numFmtId="165" fontId="21" fillId="2" borderId="7" xfId="1" applyNumberFormat="1" applyFont="1" applyFill="1" applyBorder="1" applyAlignment="1">
      <alignment horizontal="center" vertical="center" wrapText="1"/>
    </xf>
    <xf numFmtId="0" fontId="21" fillId="2" borderId="17" xfId="1" applyFont="1" applyFill="1" applyBorder="1" applyAlignment="1">
      <alignment horizontal="center" vertical="center" wrapText="1"/>
    </xf>
    <xf numFmtId="0" fontId="21" fillId="2" borderId="6" xfId="1" applyFont="1" applyFill="1" applyBorder="1" applyAlignment="1">
      <alignment horizontal="center" vertical="center" wrapText="1"/>
    </xf>
    <xf numFmtId="0" fontId="12" fillId="0" borderId="13" xfId="1" applyFont="1" applyBorder="1" applyAlignment="1">
      <alignment horizontal="center" vertical="center" wrapText="1"/>
    </xf>
    <xf numFmtId="0" fontId="22" fillId="5" borderId="4" xfId="1" applyFont="1" applyFill="1" applyBorder="1" applyAlignment="1">
      <alignment horizontal="center" vertical="center"/>
    </xf>
    <xf numFmtId="14" fontId="22" fillId="5" borderId="4" xfId="1" applyNumberFormat="1" applyFont="1" applyFill="1" applyBorder="1" applyAlignment="1">
      <alignment horizontal="center" vertical="center" wrapText="1"/>
    </xf>
    <xf numFmtId="165" fontId="22" fillId="5" borderId="4" xfId="1" applyNumberFormat="1" applyFont="1" applyFill="1" applyBorder="1" applyAlignment="1">
      <alignment horizontal="center" vertical="center" wrapText="1"/>
    </xf>
    <xf numFmtId="165" fontId="22" fillId="5" borderId="4" xfId="1" applyNumberFormat="1" applyFont="1" applyFill="1" applyBorder="1" applyAlignment="1">
      <alignment horizontal="center" vertical="center"/>
    </xf>
    <xf numFmtId="0" fontId="22" fillId="5" borderId="4" xfId="1" applyFont="1" applyFill="1" applyBorder="1" applyAlignment="1">
      <alignment horizontal="left" vertical="center" wrapText="1"/>
    </xf>
    <xf numFmtId="0" fontId="22" fillId="5" borderId="4" xfId="1" applyFont="1" applyFill="1" applyBorder="1" applyAlignment="1">
      <alignment horizontal="center" vertical="center" wrapText="1"/>
    </xf>
    <xf numFmtId="14" fontId="22" fillId="5" borderId="4" xfId="1" applyNumberFormat="1" applyFont="1" applyFill="1" applyBorder="1" applyAlignment="1">
      <alignment horizontal="center" vertical="center"/>
    </xf>
    <xf numFmtId="0" fontId="22" fillId="0" borderId="4" xfId="1" applyFont="1" applyBorder="1" applyAlignment="1">
      <alignment horizontal="center" vertical="center"/>
    </xf>
    <xf numFmtId="14" fontId="22" fillId="0" borderId="4" xfId="1" applyNumberFormat="1" applyFont="1" applyBorder="1" applyAlignment="1">
      <alignment horizontal="center" vertical="center" wrapText="1"/>
    </xf>
    <xf numFmtId="165" fontId="22" fillId="0" borderId="4" xfId="1" applyNumberFormat="1" applyFont="1" applyBorder="1" applyAlignment="1">
      <alignment horizontal="center" vertical="center" wrapText="1"/>
    </xf>
    <xf numFmtId="165" fontId="22" fillId="0" borderId="4" xfId="1" applyNumberFormat="1" applyFont="1" applyBorder="1" applyAlignment="1">
      <alignment horizontal="center" vertical="center"/>
    </xf>
    <xf numFmtId="0" fontId="22" fillId="0" borderId="4" xfId="1" applyFont="1" applyBorder="1" applyAlignment="1">
      <alignment horizontal="left" vertical="center" wrapText="1"/>
    </xf>
    <xf numFmtId="0" fontId="22" fillId="0" borderId="4" xfId="1" applyFont="1" applyBorder="1" applyAlignment="1">
      <alignment horizontal="center" vertical="center" wrapText="1"/>
    </xf>
    <xf numFmtId="14" fontId="22" fillId="0" borderId="4" xfId="1" applyNumberFormat="1" applyFont="1" applyBorder="1" applyAlignment="1">
      <alignment horizontal="center" vertical="center"/>
    </xf>
    <xf numFmtId="0" fontId="19" fillId="0" borderId="4" xfId="1" applyFont="1" applyBorder="1" applyAlignment="1">
      <alignment horizontal="center" vertical="center"/>
    </xf>
    <xf numFmtId="0" fontId="16" fillId="0" borderId="4" xfId="1" applyFont="1" applyBorder="1" applyAlignment="1">
      <alignment horizontal="center" vertical="center" wrapText="1"/>
    </xf>
    <xf numFmtId="0" fontId="17" fillId="0" borderId="4" xfId="1" applyFont="1" applyBorder="1" applyAlignment="1">
      <alignment horizontal="right" vertical="center"/>
    </xf>
    <xf numFmtId="0" fontId="18" fillId="0" borderId="4" xfId="1" applyFont="1" applyBorder="1" applyAlignment="1">
      <alignment horizontal="left" vertical="center" wrapText="1"/>
    </xf>
    <xf numFmtId="0" fontId="12" fillId="0" borderId="4" xfId="1" applyFont="1" applyBorder="1" applyAlignment="1">
      <alignment horizontal="left" vertical="center" wrapText="1" indent="1"/>
    </xf>
    <xf numFmtId="0" fontId="15" fillId="0" borderId="4" xfId="1" applyFont="1" applyBorder="1" applyAlignment="1">
      <alignment horizontal="center" vertical="top"/>
    </xf>
    <xf numFmtId="0" fontId="6" fillId="0" borderId="9" xfId="1" applyFont="1" applyBorder="1" applyAlignment="1">
      <alignment horizontal="center" vertical="center" wrapText="1"/>
    </xf>
    <xf numFmtId="0" fontId="6" fillId="0" borderId="10" xfId="1" applyFont="1" applyBorder="1" applyAlignment="1">
      <alignment horizontal="right" vertical="center" wrapText="1" indent="1"/>
    </xf>
    <xf numFmtId="0" fontId="6" fillId="0" borderId="11" xfId="1" applyFont="1" applyBorder="1" applyAlignment="1">
      <alignment horizontal="right" vertical="center" wrapText="1" indent="1"/>
    </xf>
    <xf numFmtId="0" fontId="6" fillId="0" borderId="12" xfId="1" applyFont="1" applyBorder="1" applyAlignment="1">
      <alignment horizontal="right" vertical="center" wrapText="1" indent="1"/>
    </xf>
    <xf numFmtId="164" fontId="7" fillId="0" borderId="9" xfId="1" applyNumberFormat="1" applyFont="1" applyBorder="1" applyAlignment="1">
      <alignment horizontal="center" vertical="center" wrapText="1"/>
    </xf>
    <xf numFmtId="0" fontId="9" fillId="3" borderId="7" xfId="1" applyFont="1" applyFill="1" applyBorder="1" applyAlignment="1">
      <alignment horizontal="center" vertical="center" wrapText="1"/>
    </xf>
    <xf numFmtId="0" fontId="9" fillId="4" borderId="14" xfId="1" applyFont="1" applyFill="1" applyBorder="1" applyAlignment="1">
      <alignment horizontal="center" vertical="center" wrapText="1"/>
    </xf>
    <xf numFmtId="0" fontId="9" fillId="4" borderId="15" xfId="1" applyFont="1" applyFill="1" applyBorder="1" applyAlignment="1">
      <alignment horizontal="center" vertical="center" wrapText="1"/>
    </xf>
    <xf numFmtId="0" fontId="9" fillId="4" borderId="16" xfId="1" applyFont="1" applyFill="1" applyBorder="1" applyAlignment="1">
      <alignment horizontal="center" vertical="center" wrapText="1"/>
    </xf>
    <xf numFmtId="0" fontId="12" fillId="0" borderId="1" xfId="1" applyFont="1" applyBorder="1" applyAlignment="1">
      <alignment horizontal="left" vertical="center" wrapText="1" indent="1"/>
    </xf>
  </cellXfs>
  <cellStyles count="2">
    <cellStyle name="Normal" xfId="0" builtinId="0"/>
    <cellStyle name="Normal 2" xfId="1" xr:uid="{00000000-0005-0000-0000-000001000000}"/>
  </cellStyles>
  <dxfs count="2">
    <dxf>
      <font>
        <color theme="0" tint="-0.499984740745262"/>
      </font>
      <fill>
        <patternFill>
          <fgColor theme="0" tint="-4.9989318521683403E-2"/>
          <bgColor theme="0" tint="-4.9989318521683403E-2"/>
        </patternFill>
      </fill>
    </dxf>
    <dxf>
      <font>
        <color theme="0" tint="-0.499984740745262"/>
      </font>
      <fill>
        <patternFill>
          <fgColor theme="0" tint="-4.9989318521683403E-2"/>
          <bgColor theme="0" tint="-4.9989318521683403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6</xdr:col>
      <xdr:colOff>381000</xdr:colOff>
      <xdr:row>7</xdr:row>
      <xdr:rowOff>111125</xdr:rowOff>
    </xdr:from>
    <xdr:to>
      <xdr:col>6</xdr:col>
      <xdr:colOff>1397000</xdr:colOff>
      <xdr:row>8</xdr:row>
      <xdr:rowOff>158750</xdr:rowOff>
    </xdr:to>
    <xdr:sp macro="" textlink="">
      <xdr:nvSpPr>
        <xdr:cNvPr id="8" name="Arrow: Right 7">
          <a:extLst>
            <a:ext uri="{FF2B5EF4-FFF2-40B4-BE49-F238E27FC236}">
              <a16:creationId xmlns:a16="http://schemas.microsoft.com/office/drawing/2014/main" id="{8CA13D4A-2994-4897-AC2A-8D9B756AD726}"/>
            </a:ext>
          </a:extLst>
        </xdr:cNvPr>
        <xdr:cNvSpPr/>
      </xdr:nvSpPr>
      <xdr:spPr>
        <a:xfrm>
          <a:off x="9048750" y="2797175"/>
          <a:ext cx="1016000" cy="3143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19</xdr:col>
      <xdr:colOff>476250</xdr:colOff>
      <xdr:row>0</xdr:row>
      <xdr:rowOff>171450</xdr:rowOff>
    </xdr:from>
    <xdr:to>
      <xdr:col>20</xdr:col>
      <xdr:colOff>3512943</xdr:colOff>
      <xdr:row>0</xdr:row>
      <xdr:rowOff>842904</xdr:rowOff>
    </xdr:to>
    <xdr:pic>
      <xdr:nvPicPr>
        <xdr:cNvPr id="5" name="Picture 4" descr="A blue and grey logo&#10;&#10;AI-generated content may be incorrect.">
          <a:extLst>
            <a:ext uri="{FF2B5EF4-FFF2-40B4-BE49-F238E27FC236}">
              <a16:creationId xmlns:a16="http://schemas.microsoft.com/office/drawing/2014/main" id="{FD0ED897-9B97-4FA0-B62F-56E98C739994}"/>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4922400" y="171450"/>
          <a:ext cx="5379843" cy="671454"/>
        </a:xfrm>
        <a:prstGeom prst="rect">
          <a:avLst/>
        </a:prstGeom>
      </xdr:spPr>
    </xdr:pic>
    <xdr:clientData/>
  </xdr:twoCellAnchor>
  <xdr:twoCellAnchor editAs="oneCell">
    <xdr:from>
      <xdr:col>0</xdr:col>
      <xdr:colOff>723900</xdr:colOff>
      <xdr:row>0</xdr:row>
      <xdr:rowOff>304800</xdr:rowOff>
    </xdr:from>
    <xdr:to>
      <xdr:col>2</xdr:col>
      <xdr:colOff>2878</xdr:colOff>
      <xdr:row>0</xdr:row>
      <xdr:rowOff>840184</xdr:rowOff>
    </xdr:to>
    <xdr:pic>
      <xdr:nvPicPr>
        <xdr:cNvPr id="9" name="Picture 8" descr="A blue text on a black background&#10;&#10;Description automatically generated">
          <a:extLst>
            <a:ext uri="{FF2B5EF4-FFF2-40B4-BE49-F238E27FC236}">
              <a16:creationId xmlns:a16="http://schemas.microsoft.com/office/drawing/2014/main" id="{B1FF9DA5-5872-47D1-8AA4-A2B589396290}"/>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 y="304800"/>
          <a:ext cx="2269828" cy="535384"/>
        </a:xfrm>
        <a:prstGeom prst="rect">
          <a:avLst/>
        </a:prstGeom>
        <a:noFill/>
        <a:ln>
          <a:noFill/>
        </a:ln>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U24"/>
  <sheetViews>
    <sheetView showGridLines="0" tabSelected="1" view="pageBreakPreview" zoomScale="40" zoomScaleNormal="60" zoomScaleSheetLayoutView="40" workbookViewId="0">
      <pane ySplit="12" topLeftCell="A13" activePane="bottomLeft" state="frozen"/>
      <selection pane="bottomLeft" activeCell="A13" sqref="A13:XFD1048576"/>
    </sheetView>
  </sheetViews>
  <sheetFormatPr defaultRowHeight="12.75" x14ac:dyDescent="0.2"/>
  <cols>
    <col min="1" max="1" width="13" style="1" bestFit="1" customWidth="1"/>
    <col min="2" max="2" width="31.5703125" style="1" customWidth="1"/>
    <col min="3" max="3" width="24.85546875" style="1" bestFit="1" customWidth="1"/>
    <col min="4" max="4" width="23.42578125" style="1" customWidth="1"/>
    <col min="5" max="5" width="25.140625" style="1" customWidth="1"/>
    <col min="6" max="6" width="20.5703125" style="1" customWidth="1"/>
    <col min="7" max="7" width="25.140625" style="1" customWidth="1"/>
    <col min="8" max="8" width="23.7109375" style="1" bestFit="1" customWidth="1"/>
    <col min="9" max="9" width="22.28515625" style="1" customWidth="1"/>
    <col min="10" max="11" width="123.140625" style="1" customWidth="1"/>
    <col min="12" max="12" width="100.28515625" style="1" customWidth="1"/>
    <col min="13" max="13" width="114" style="1" customWidth="1"/>
    <col min="14" max="14" width="102.140625" style="1" customWidth="1"/>
    <col min="15" max="15" width="102.140625" style="1" hidden="1" customWidth="1"/>
    <col min="16" max="16" width="99.140625" style="1" customWidth="1"/>
    <col min="17" max="17" width="50.140625" style="1" customWidth="1"/>
    <col min="18" max="18" width="28.7109375" style="1" customWidth="1"/>
    <col min="19" max="19" width="36.28515625" style="2" customWidth="1"/>
    <col min="20" max="20" width="35" style="2" customWidth="1"/>
    <col min="21" max="21" width="59.85546875" style="2" customWidth="1"/>
    <col min="22" max="16384" width="9.140625" style="1"/>
  </cols>
  <sheetData>
    <row r="1" spans="1:21" s="30" customFormat="1" ht="74.25" customHeight="1" x14ac:dyDescent="0.2">
      <c r="A1" s="60"/>
      <c r="B1" s="60"/>
      <c r="C1" s="60"/>
      <c r="D1" s="56" t="s">
        <v>33</v>
      </c>
      <c r="E1" s="56"/>
      <c r="F1" s="56"/>
      <c r="G1" s="56"/>
      <c r="H1" s="56"/>
      <c r="I1" s="56"/>
      <c r="J1" s="56"/>
      <c r="K1" s="56"/>
      <c r="L1" s="56"/>
      <c r="M1" s="56"/>
      <c r="N1" s="57"/>
      <c r="O1" s="57"/>
      <c r="P1" s="57"/>
      <c r="Q1" s="58"/>
      <c r="R1" s="58"/>
      <c r="S1" s="58"/>
      <c r="T1" s="55"/>
      <c r="U1" s="55"/>
    </row>
    <row r="2" spans="1:21" s="5" customFormat="1" ht="24" thickBot="1" x14ac:dyDescent="0.4">
      <c r="A2" s="61"/>
      <c r="B2" s="61"/>
      <c r="C2" s="61"/>
      <c r="D2" s="61" t="s">
        <v>35</v>
      </c>
      <c r="E2" s="61"/>
      <c r="F2" s="61"/>
      <c r="G2" s="61"/>
      <c r="H2" s="61"/>
      <c r="I2" s="61"/>
      <c r="J2" s="61"/>
      <c r="K2" s="61"/>
      <c r="L2" s="61"/>
      <c r="M2" s="62" t="s">
        <v>18</v>
      </c>
      <c r="N2" s="63"/>
      <c r="O2" s="63"/>
      <c r="P2" s="63"/>
      <c r="Q2" s="63"/>
      <c r="R2" s="63"/>
      <c r="S2" s="64"/>
      <c r="T2" s="65">
        <f ca="1">TODAY()</f>
        <v>46244</v>
      </c>
      <c r="U2" s="65"/>
    </row>
    <row r="3" spans="1:21" s="12" customFormat="1" ht="29.25" customHeight="1" x14ac:dyDescent="0.2">
      <c r="A3" s="6" t="s">
        <v>19</v>
      </c>
      <c r="B3" s="66" t="s">
        <v>20</v>
      </c>
      <c r="C3" s="66"/>
      <c r="D3" s="7" t="s">
        <v>21</v>
      </c>
      <c r="E3" s="8" t="s">
        <v>22</v>
      </c>
      <c r="F3" s="9" t="s">
        <v>15</v>
      </c>
      <c r="G3" s="67" t="s">
        <v>23</v>
      </c>
      <c r="H3" s="10" t="s">
        <v>24</v>
      </c>
      <c r="I3" s="10" t="s">
        <v>25</v>
      </c>
      <c r="J3" s="10" t="s">
        <v>26</v>
      </c>
      <c r="K3" s="10"/>
      <c r="L3" s="10"/>
      <c r="M3" s="10"/>
      <c r="N3" s="10"/>
      <c r="O3" s="10"/>
      <c r="P3" s="10"/>
      <c r="Q3" s="10"/>
      <c r="R3" s="10"/>
      <c r="S3" s="10"/>
      <c r="T3" s="31"/>
      <c r="U3" s="11"/>
    </row>
    <row r="4" spans="1:21" ht="21" x14ac:dyDescent="0.2">
      <c r="A4" s="13">
        <v>1</v>
      </c>
      <c r="B4" s="59" t="s">
        <v>27</v>
      </c>
      <c r="C4" s="59"/>
      <c r="D4" s="14">
        <v>0</v>
      </c>
      <c r="E4" s="14">
        <v>0</v>
      </c>
      <c r="F4" s="15">
        <v>0</v>
      </c>
      <c r="G4" s="68"/>
      <c r="H4" s="16">
        <f>D7</f>
        <v>41</v>
      </c>
      <c r="I4" s="16"/>
      <c r="J4" s="16"/>
      <c r="K4" s="16"/>
      <c r="L4" s="16"/>
      <c r="M4" s="16"/>
      <c r="N4" s="16"/>
      <c r="O4" s="16"/>
      <c r="P4" s="16"/>
      <c r="Q4" s="16"/>
      <c r="R4" s="16"/>
      <c r="S4" s="16"/>
      <c r="T4" s="32"/>
      <c r="U4" s="17"/>
    </row>
    <row r="5" spans="1:21" ht="21" x14ac:dyDescent="0.3">
      <c r="A5" s="13">
        <v>2</v>
      </c>
      <c r="B5" s="59" t="s">
        <v>28</v>
      </c>
      <c r="C5" s="59"/>
      <c r="D5" s="14">
        <v>0</v>
      </c>
      <c r="E5" s="14">
        <v>0</v>
      </c>
      <c r="F5" s="15">
        <v>0</v>
      </c>
      <c r="G5" s="68"/>
      <c r="H5" s="16"/>
      <c r="I5" s="16"/>
      <c r="J5" s="16"/>
      <c r="K5" s="16"/>
      <c r="L5" s="16"/>
      <c r="M5" s="18"/>
      <c r="N5" s="18"/>
      <c r="O5" s="18"/>
      <c r="P5" s="18"/>
      <c r="Q5" s="18"/>
      <c r="R5" s="18"/>
      <c r="S5" s="19"/>
      <c r="T5" s="33"/>
      <c r="U5" s="20"/>
    </row>
    <row r="6" spans="1:21" ht="21" x14ac:dyDescent="0.3">
      <c r="A6" s="13">
        <v>3</v>
      </c>
      <c r="B6" s="59" t="s">
        <v>29</v>
      </c>
      <c r="C6" s="59"/>
      <c r="D6" s="14">
        <v>0</v>
      </c>
      <c r="E6" s="14">
        <v>0</v>
      </c>
      <c r="F6" s="15">
        <v>0</v>
      </c>
      <c r="G6" s="68"/>
      <c r="H6" s="16"/>
      <c r="I6" s="16"/>
      <c r="J6" s="16"/>
      <c r="K6" s="16"/>
      <c r="L6" s="16"/>
      <c r="M6" s="18"/>
      <c r="N6" s="18"/>
      <c r="O6" s="18"/>
      <c r="P6" s="18"/>
      <c r="Q6" s="18"/>
      <c r="R6" s="18"/>
      <c r="S6" s="19"/>
      <c r="T6" s="33"/>
      <c r="U6" s="20"/>
    </row>
    <row r="7" spans="1:21" ht="21" x14ac:dyDescent="0.3">
      <c r="A7" s="13">
        <v>4</v>
      </c>
      <c r="B7" s="59" t="s">
        <v>24</v>
      </c>
      <c r="C7" s="59"/>
      <c r="D7" s="14">
        <v>41</v>
      </c>
      <c r="E7" s="14">
        <v>30</v>
      </c>
      <c r="F7" s="15">
        <f>D7-E7</f>
        <v>11</v>
      </c>
      <c r="G7" s="68"/>
      <c r="H7" s="16"/>
      <c r="I7" s="16"/>
      <c r="J7" s="16"/>
      <c r="K7" s="16"/>
      <c r="L7" s="16"/>
      <c r="M7" s="18"/>
      <c r="N7" s="18"/>
      <c r="O7" s="18"/>
      <c r="P7" s="18"/>
      <c r="Q7" s="18"/>
      <c r="R7" s="18"/>
      <c r="S7" s="19"/>
      <c r="T7" s="33"/>
      <c r="U7" s="20"/>
    </row>
    <row r="8" spans="1:21" ht="21" x14ac:dyDescent="0.3">
      <c r="A8" s="13">
        <v>5</v>
      </c>
      <c r="B8" s="59" t="s">
        <v>30</v>
      </c>
      <c r="C8" s="59"/>
      <c r="D8" s="14">
        <v>0</v>
      </c>
      <c r="E8" s="14">
        <v>0</v>
      </c>
      <c r="F8" s="15">
        <v>0</v>
      </c>
      <c r="G8" s="68"/>
      <c r="H8" s="16"/>
      <c r="I8" s="16"/>
      <c r="J8" s="16"/>
      <c r="K8" s="16"/>
      <c r="L8" s="16"/>
      <c r="M8" s="18"/>
      <c r="N8" s="18"/>
      <c r="O8" s="18"/>
      <c r="P8" s="18"/>
      <c r="Q8" s="18"/>
      <c r="R8" s="18"/>
      <c r="S8" s="19"/>
      <c r="T8" s="33"/>
      <c r="U8" s="20"/>
    </row>
    <row r="9" spans="1:21" ht="21" x14ac:dyDescent="0.3">
      <c r="A9" s="13">
        <v>6</v>
      </c>
      <c r="B9" s="59" t="s">
        <v>31</v>
      </c>
      <c r="C9" s="59"/>
      <c r="D9" s="14">
        <v>0</v>
      </c>
      <c r="E9" s="14">
        <v>0</v>
      </c>
      <c r="F9" s="15">
        <v>0</v>
      </c>
      <c r="G9" s="68"/>
      <c r="H9" s="16"/>
      <c r="I9" s="16"/>
      <c r="J9" s="16"/>
      <c r="K9" s="16"/>
      <c r="L9" s="16"/>
      <c r="M9" s="18"/>
      <c r="N9" s="18"/>
      <c r="O9" s="18"/>
      <c r="P9" s="18"/>
      <c r="Q9" s="18"/>
      <c r="R9" s="18"/>
      <c r="S9" s="19"/>
      <c r="T9" s="33"/>
      <c r="U9" s="20"/>
    </row>
    <row r="10" spans="1:21" ht="21.75" thickBot="1" x14ac:dyDescent="0.35">
      <c r="A10" s="21">
        <v>7</v>
      </c>
      <c r="B10" s="70" t="s">
        <v>32</v>
      </c>
      <c r="C10" s="70"/>
      <c r="D10" s="22">
        <v>0</v>
      </c>
      <c r="E10" s="22">
        <v>0</v>
      </c>
      <c r="F10" s="40">
        <v>0</v>
      </c>
      <c r="G10" s="69"/>
      <c r="H10" s="23"/>
      <c r="I10" s="23"/>
      <c r="J10" s="23"/>
      <c r="K10" s="23"/>
      <c r="L10" s="23"/>
      <c r="M10" s="24"/>
      <c r="N10" s="24"/>
      <c r="O10" s="24"/>
      <c r="P10" s="24"/>
      <c r="Q10" s="24"/>
      <c r="R10" s="24"/>
      <c r="S10" s="25"/>
      <c r="T10" s="34"/>
      <c r="U10" s="26"/>
    </row>
    <row r="11" spans="1:21" ht="16.5" thickBot="1" x14ac:dyDescent="0.25">
      <c r="A11" s="27"/>
      <c r="B11" s="28"/>
      <c r="C11" s="28"/>
      <c r="D11" s="4"/>
      <c r="E11" s="28"/>
      <c r="F11" s="28"/>
      <c r="G11" s="28"/>
      <c r="H11" s="28"/>
      <c r="I11" s="28"/>
      <c r="J11" s="28"/>
      <c r="K11" s="28"/>
      <c r="L11" s="28"/>
      <c r="S11" s="29"/>
      <c r="T11" s="29"/>
      <c r="U11" s="29"/>
    </row>
    <row r="12" spans="1:21" s="3" customFormat="1" ht="46.5" customHeight="1" x14ac:dyDescent="0.25">
      <c r="A12" s="35" t="s">
        <v>14</v>
      </c>
      <c r="B12" s="36" t="s">
        <v>13</v>
      </c>
      <c r="C12" s="37" t="s">
        <v>12</v>
      </c>
      <c r="D12" s="37" t="s">
        <v>11</v>
      </c>
      <c r="E12" s="37" t="s">
        <v>10</v>
      </c>
      <c r="F12" s="37" t="s">
        <v>9</v>
      </c>
      <c r="G12" s="37" t="s">
        <v>8</v>
      </c>
      <c r="H12" s="37" t="s">
        <v>7</v>
      </c>
      <c r="I12" s="36" t="s">
        <v>5</v>
      </c>
      <c r="J12" s="36" t="s">
        <v>4</v>
      </c>
      <c r="K12" s="36" t="s">
        <v>39</v>
      </c>
      <c r="L12" s="36" t="s">
        <v>3</v>
      </c>
      <c r="M12" s="36" t="s">
        <v>2</v>
      </c>
      <c r="N12" s="36" t="s">
        <v>40</v>
      </c>
      <c r="O12" s="36" t="s">
        <v>17</v>
      </c>
      <c r="P12" s="36" t="s">
        <v>41</v>
      </c>
      <c r="Q12" s="37" t="s">
        <v>16</v>
      </c>
      <c r="R12" s="37" t="s">
        <v>6</v>
      </c>
      <c r="S12" s="37" t="s">
        <v>1</v>
      </c>
      <c r="T12" s="38" t="s">
        <v>34</v>
      </c>
      <c r="U12" s="39" t="s">
        <v>0</v>
      </c>
    </row>
    <row r="13" spans="1:21" ht="150" x14ac:dyDescent="0.2">
      <c r="A13" s="41">
        <v>27</v>
      </c>
      <c r="B13" s="42" t="s">
        <v>45</v>
      </c>
      <c r="C13" s="43">
        <v>46206</v>
      </c>
      <c r="D13" s="43" t="s">
        <v>36</v>
      </c>
      <c r="E13" s="44">
        <v>46207</v>
      </c>
      <c r="F13" s="44" t="s">
        <v>37</v>
      </c>
      <c r="G13" s="44" t="s">
        <v>38</v>
      </c>
      <c r="H13" s="43">
        <v>46236</v>
      </c>
      <c r="I13" s="41" t="s">
        <v>43</v>
      </c>
      <c r="J13" s="45" t="s">
        <v>46</v>
      </c>
      <c r="K13" s="45" t="s">
        <v>47</v>
      </c>
      <c r="L13" s="45" t="s">
        <v>49</v>
      </c>
      <c r="M13" s="45" t="s">
        <v>48</v>
      </c>
      <c r="N13" s="45" t="s">
        <v>50</v>
      </c>
      <c r="O13" s="45"/>
      <c r="P13" s="45" t="s">
        <v>112</v>
      </c>
      <c r="Q13" s="44">
        <v>46237</v>
      </c>
      <c r="R13" s="44">
        <v>46239</v>
      </c>
      <c r="S13" s="44">
        <v>46237</v>
      </c>
      <c r="T13" s="46" t="s">
        <v>42</v>
      </c>
      <c r="U13" s="47"/>
    </row>
    <row r="14" spans="1:21" ht="206.25" x14ac:dyDescent="0.2">
      <c r="A14" s="41">
        <v>28</v>
      </c>
      <c r="B14" s="42" t="s">
        <v>51</v>
      </c>
      <c r="C14" s="43">
        <v>46216</v>
      </c>
      <c r="D14" s="43" t="s">
        <v>36</v>
      </c>
      <c r="E14" s="44">
        <v>46217</v>
      </c>
      <c r="F14" s="44" t="s">
        <v>37</v>
      </c>
      <c r="G14" s="44" t="s">
        <v>38</v>
      </c>
      <c r="H14" s="43">
        <v>46247</v>
      </c>
      <c r="I14" s="41" t="s">
        <v>43</v>
      </c>
      <c r="J14" s="45" t="s">
        <v>52</v>
      </c>
      <c r="K14" s="45" t="s">
        <v>53</v>
      </c>
      <c r="L14" s="45" t="s">
        <v>75</v>
      </c>
      <c r="M14" s="45" t="s">
        <v>76</v>
      </c>
      <c r="N14" s="45" t="s">
        <v>77</v>
      </c>
      <c r="O14" s="45"/>
      <c r="P14" s="45" t="s">
        <v>113</v>
      </c>
      <c r="Q14" s="44">
        <v>46235</v>
      </c>
      <c r="R14" s="44">
        <v>46239</v>
      </c>
      <c r="S14" s="44">
        <v>46235</v>
      </c>
      <c r="T14" s="46" t="s">
        <v>42</v>
      </c>
      <c r="U14" s="47"/>
    </row>
    <row r="15" spans="1:21" ht="225" x14ac:dyDescent="0.2">
      <c r="A15" s="41">
        <v>29</v>
      </c>
      <c r="B15" s="42" t="s">
        <v>54</v>
      </c>
      <c r="C15" s="43">
        <v>46216</v>
      </c>
      <c r="D15" s="43" t="s">
        <v>36</v>
      </c>
      <c r="E15" s="44">
        <v>46217</v>
      </c>
      <c r="F15" s="44" t="s">
        <v>37</v>
      </c>
      <c r="G15" s="44" t="s">
        <v>38</v>
      </c>
      <c r="H15" s="43">
        <v>46247</v>
      </c>
      <c r="I15" s="41" t="s">
        <v>43</v>
      </c>
      <c r="J15" s="45" t="s">
        <v>55</v>
      </c>
      <c r="K15" s="45" t="s">
        <v>56</v>
      </c>
      <c r="L15" s="45" t="s">
        <v>78</v>
      </c>
      <c r="M15" s="45" t="s">
        <v>79</v>
      </c>
      <c r="N15" s="45" t="s">
        <v>80</v>
      </c>
      <c r="O15" s="45"/>
      <c r="P15" s="45" t="s">
        <v>114</v>
      </c>
      <c r="Q15" s="44">
        <v>46233</v>
      </c>
      <c r="R15" s="44">
        <v>46237</v>
      </c>
      <c r="S15" s="44">
        <v>46233</v>
      </c>
      <c r="T15" s="46" t="s">
        <v>42</v>
      </c>
      <c r="U15" s="47"/>
    </row>
    <row r="16" spans="1:21" ht="262.5" x14ac:dyDescent="0.2">
      <c r="A16" s="41">
        <v>30</v>
      </c>
      <c r="B16" s="42" t="s">
        <v>57</v>
      </c>
      <c r="C16" s="43">
        <v>46217</v>
      </c>
      <c r="D16" s="43" t="s">
        <v>36</v>
      </c>
      <c r="E16" s="44">
        <v>46218</v>
      </c>
      <c r="F16" s="44" t="s">
        <v>37</v>
      </c>
      <c r="G16" s="44" t="s">
        <v>38</v>
      </c>
      <c r="H16" s="43">
        <v>46247</v>
      </c>
      <c r="I16" s="41" t="s">
        <v>43</v>
      </c>
      <c r="J16" s="45" t="s">
        <v>58</v>
      </c>
      <c r="K16" s="45" t="s">
        <v>59</v>
      </c>
      <c r="L16" s="45" t="s">
        <v>63</v>
      </c>
      <c r="M16" s="45" t="s">
        <v>64</v>
      </c>
      <c r="N16" s="45" t="s">
        <v>65</v>
      </c>
      <c r="O16" s="45"/>
      <c r="P16" s="45" t="s">
        <v>65</v>
      </c>
      <c r="Q16" s="44">
        <v>46225</v>
      </c>
      <c r="R16" s="44">
        <v>46228</v>
      </c>
      <c r="S16" s="44">
        <v>46225</v>
      </c>
      <c r="T16" s="46" t="s">
        <v>42</v>
      </c>
      <c r="U16" s="47"/>
    </row>
    <row r="17" spans="1:21" ht="187.5" x14ac:dyDescent="0.2">
      <c r="A17" s="48">
        <v>31</v>
      </c>
      <c r="B17" s="49" t="s">
        <v>60</v>
      </c>
      <c r="C17" s="50">
        <v>46220</v>
      </c>
      <c r="D17" s="50" t="s">
        <v>36</v>
      </c>
      <c r="E17" s="51">
        <v>46221</v>
      </c>
      <c r="F17" s="51" t="s">
        <v>37</v>
      </c>
      <c r="G17" s="51" t="s">
        <v>38</v>
      </c>
      <c r="H17" s="50">
        <v>46251</v>
      </c>
      <c r="I17" s="48" t="s">
        <v>44</v>
      </c>
      <c r="J17" s="52" t="s">
        <v>61</v>
      </c>
      <c r="K17" s="52" t="s">
        <v>62</v>
      </c>
      <c r="L17" s="52" t="s">
        <v>66</v>
      </c>
      <c r="M17" s="52" t="s">
        <v>67</v>
      </c>
      <c r="N17" s="52" t="s">
        <v>68</v>
      </c>
      <c r="O17" s="52"/>
      <c r="P17" s="52"/>
      <c r="Q17" s="51"/>
      <c r="R17" s="51"/>
      <c r="S17" s="51"/>
      <c r="T17" s="53" t="s">
        <v>42</v>
      </c>
      <c r="U17" s="54"/>
    </row>
    <row r="18" spans="1:21" ht="262.5" x14ac:dyDescent="0.2">
      <c r="A18" s="48">
        <v>32</v>
      </c>
      <c r="B18" s="49" t="s">
        <v>69</v>
      </c>
      <c r="C18" s="50">
        <v>46224</v>
      </c>
      <c r="D18" s="50" t="s">
        <v>36</v>
      </c>
      <c r="E18" s="51">
        <v>46225</v>
      </c>
      <c r="F18" s="51" t="s">
        <v>37</v>
      </c>
      <c r="G18" s="50" t="s">
        <v>81</v>
      </c>
      <c r="H18" s="50">
        <v>46254</v>
      </c>
      <c r="I18" s="48" t="s">
        <v>44</v>
      </c>
      <c r="J18" s="52" t="s">
        <v>70</v>
      </c>
      <c r="K18" s="52" t="s">
        <v>71</v>
      </c>
      <c r="L18" s="52" t="s">
        <v>82</v>
      </c>
      <c r="M18" s="52" t="s">
        <v>83</v>
      </c>
      <c r="N18" s="52" t="s">
        <v>84</v>
      </c>
      <c r="O18" s="52"/>
      <c r="P18" s="52"/>
      <c r="Q18" s="51"/>
      <c r="R18" s="51"/>
      <c r="S18" s="51"/>
      <c r="T18" s="53" t="s">
        <v>42</v>
      </c>
      <c r="U18" s="54"/>
    </row>
    <row r="19" spans="1:21" ht="150" x14ac:dyDescent="0.2">
      <c r="A19" s="48">
        <v>33</v>
      </c>
      <c r="B19" s="49" t="s">
        <v>72</v>
      </c>
      <c r="C19" s="50">
        <v>46225</v>
      </c>
      <c r="D19" s="50" t="s">
        <v>36</v>
      </c>
      <c r="E19" s="51">
        <v>46226</v>
      </c>
      <c r="F19" s="51" t="s">
        <v>37</v>
      </c>
      <c r="G19" s="50" t="s">
        <v>38</v>
      </c>
      <c r="H19" s="50">
        <v>46256</v>
      </c>
      <c r="I19" s="48" t="s">
        <v>44</v>
      </c>
      <c r="J19" s="52" t="s">
        <v>73</v>
      </c>
      <c r="K19" s="52" t="s">
        <v>74</v>
      </c>
      <c r="L19" s="52" t="s">
        <v>85</v>
      </c>
      <c r="M19" s="52" t="s">
        <v>86</v>
      </c>
      <c r="N19" s="52" t="s">
        <v>87</v>
      </c>
      <c r="O19" s="52"/>
      <c r="P19" s="52"/>
      <c r="Q19" s="51"/>
      <c r="R19" s="51"/>
      <c r="S19" s="51"/>
      <c r="T19" s="53" t="s">
        <v>42</v>
      </c>
      <c r="U19" s="54"/>
    </row>
    <row r="20" spans="1:21" ht="150" x14ac:dyDescent="0.2">
      <c r="A20" s="48">
        <v>34</v>
      </c>
      <c r="B20" s="49" t="s">
        <v>91</v>
      </c>
      <c r="C20" s="50">
        <v>46228</v>
      </c>
      <c r="D20" s="50" t="s">
        <v>36</v>
      </c>
      <c r="E20" s="51">
        <v>46231</v>
      </c>
      <c r="F20" s="51" t="s">
        <v>37</v>
      </c>
      <c r="G20" s="50" t="s">
        <v>38</v>
      </c>
      <c r="H20" s="50">
        <v>46258</v>
      </c>
      <c r="I20" s="48" t="s">
        <v>44</v>
      </c>
      <c r="J20" s="52" t="s">
        <v>92</v>
      </c>
      <c r="K20" s="52" t="s">
        <v>93</v>
      </c>
      <c r="L20" s="52" t="s">
        <v>106</v>
      </c>
      <c r="M20" s="52" t="s">
        <v>107</v>
      </c>
      <c r="N20" s="52" t="s">
        <v>108</v>
      </c>
      <c r="O20" s="52"/>
      <c r="P20" s="52"/>
      <c r="Q20" s="51"/>
      <c r="R20" s="51"/>
      <c r="S20" s="51"/>
      <c r="T20" s="53" t="s">
        <v>42</v>
      </c>
      <c r="U20" s="54"/>
    </row>
    <row r="21" spans="1:21" ht="112.5" x14ac:dyDescent="0.2">
      <c r="A21" s="48">
        <v>35</v>
      </c>
      <c r="B21" s="49" t="s">
        <v>88</v>
      </c>
      <c r="C21" s="50">
        <v>46230</v>
      </c>
      <c r="D21" s="50" t="s">
        <v>36</v>
      </c>
      <c r="E21" s="51">
        <v>46231</v>
      </c>
      <c r="F21" s="51" t="s">
        <v>37</v>
      </c>
      <c r="G21" s="51" t="s">
        <v>38</v>
      </c>
      <c r="H21" s="50">
        <v>46260</v>
      </c>
      <c r="I21" s="48" t="s">
        <v>44</v>
      </c>
      <c r="J21" s="52" t="s">
        <v>89</v>
      </c>
      <c r="K21" s="52" t="s">
        <v>90</v>
      </c>
      <c r="L21" s="52" t="s">
        <v>103</v>
      </c>
      <c r="M21" s="52" t="s">
        <v>104</v>
      </c>
      <c r="N21" s="52" t="s">
        <v>105</v>
      </c>
      <c r="O21" s="52"/>
      <c r="P21" s="52"/>
      <c r="Q21" s="51"/>
      <c r="R21" s="51"/>
      <c r="S21" s="51"/>
      <c r="T21" s="53" t="s">
        <v>42</v>
      </c>
      <c r="U21" s="54"/>
    </row>
    <row r="22" spans="1:21" ht="168.75" x14ac:dyDescent="0.2">
      <c r="A22" s="48">
        <v>36</v>
      </c>
      <c r="B22" s="49" t="s">
        <v>94</v>
      </c>
      <c r="C22" s="50">
        <v>46231</v>
      </c>
      <c r="D22" s="50" t="s">
        <v>36</v>
      </c>
      <c r="E22" s="51">
        <v>46233</v>
      </c>
      <c r="F22" s="51" t="s">
        <v>37</v>
      </c>
      <c r="G22" s="51" t="s">
        <v>38</v>
      </c>
      <c r="H22" s="50">
        <v>46261</v>
      </c>
      <c r="I22" s="48" t="s">
        <v>44</v>
      </c>
      <c r="J22" s="52" t="s">
        <v>95</v>
      </c>
      <c r="K22" s="52" t="s">
        <v>96</v>
      </c>
      <c r="L22" s="52"/>
      <c r="M22" s="52"/>
      <c r="N22" s="52"/>
      <c r="O22" s="52"/>
      <c r="P22" s="52"/>
      <c r="Q22" s="51"/>
      <c r="R22" s="51"/>
      <c r="S22" s="51"/>
      <c r="T22" s="53" t="s">
        <v>42</v>
      </c>
      <c r="U22" s="54"/>
    </row>
    <row r="23" spans="1:21" ht="131.25" x14ac:dyDescent="0.2">
      <c r="A23" s="48">
        <v>37</v>
      </c>
      <c r="B23" s="49" t="s">
        <v>97</v>
      </c>
      <c r="C23" s="50">
        <v>46230</v>
      </c>
      <c r="D23" s="50" t="s">
        <v>36</v>
      </c>
      <c r="E23" s="51">
        <v>46233</v>
      </c>
      <c r="F23" s="51" t="s">
        <v>98</v>
      </c>
      <c r="G23" s="51" t="s">
        <v>38</v>
      </c>
      <c r="H23" s="50">
        <v>46260</v>
      </c>
      <c r="I23" s="48" t="s">
        <v>44</v>
      </c>
      <c r="J23" s="52" t="s">
        <v>99</v>
      </c>
      <c r="K23" s="52" t="s">
        <v>100</v>
      </c>
      <c r="L23" s="52" t="s">
        <v>109</v>
      </c>
      <c r="M23" s="52" t="s">
        <v>110</v>
      </c>
      <c r="N23" s="52" t="s">
        <v>111</v>
      </c>
      <c r="O23" s="52"/>
      <c r="P23" s="52"/>
      <c r="Q23" s="51"/>
      <c r="R23" s="51"/>
      <c r="S23" s="51"/>
      <c r="T23" s="53" t="s">
        <v>42</v>
      </c>
      <c r="U23" s="54"/>
    </row>
    <row r="24" spans="1:21" ht="131.25" x14ac:dyDescent="0.2">
      <c r="A24" s="48">
        <v>38</v>
      </c>
      <c r="B24" s="49" t="s">
        <v>101</v>
      </c>
      <c r="C24" s="50">
        <v>46233</v>
      </c>
      <c r="D24" s="50" t="s">
        <v>36</v>
      </c>
      <c r="E24" s="51">
        <v>46234</v>
      </c>
      <c r="F24" s="51" t="s">
        <v>37</v>
      </c>
      <c r="G24" s="51" t="s">
        <v>38</v>
      </c>
      <c r="H24" s="50">
        <v>46263</v>
      </c>
      <c r="I24" s="48" t="s">
        <v>44</v>
      </c>
      <c r="J24" s="52" t="s">
        <v>102</v>
      </c>
      <c r="K24" s="52" t="s">
        <v>118</v>
      </c>
      <c r="L24" s="52" t="s">
        <v>115</v>
      </c>
      <c r="M24" s="52" t="s">
        <v>116</v>
      </c>
      <c r="N24" s="52" t="s">
        <v>117</v>
      </c>
      <c r="O24" s="52"/>
      <c r="P24" s="52"/>
      <c r="Q24" s="51"/>
      <c r="R24" s="51"/>
      <c r="S24" s="51"/>
      <c r="T24" s="53" t="s">
        <v>42</v>
      </c>
      <c r="U24" s="54"/>
    </row>
  </sheetData>
  <autoFilter ref="A12:U24" xr:uid="{00000000-0001-0000-0000-000000000000}"/>
  <mergeCells count="18">
    <mergeCell ref="B10:C10"/>
    <mergeCell ref="B9:C9"/>
    <mergeCell ref="T1:U1"/>
    <mergeCell ref="D1:M1"/>
    <mergeCell ref="N1:P1"/>
    <mergeCell ref="Q1:S1"/>
    <mergeCell ref="B8:C8"/>
    <mergeCell ref="A1:C1"/>
    <mergeCell ref="A2:C2"/>
    <mergeCell ref="D2:L2"/>
    <mergeCell ref="M2:S2"/>
    <mergeCell ref="T2:U2"/>
    <mergeCell ref="B3:C3"/>
    <mergeCell ref="G3:G10"/>
    <mergeCell ref="B4:C4"/>
    <mergeCell ref="B5:C5"/>
    <mergeCell ref="B6:C6"/>
    <mergeCell ref="B7:C7"/>
  </mergeCells>
  <phoneticPr fontId="15" type="noConversion"/>
  <conditionalFormatting sqref="A3:B10">
    <cfRule type="cellIs" dxfId="1" priority="3" operator="equal">
      <formula>"N/A"</formula>
    </cfRule>
  </conditionalFormatting>
  <conditionalFormatting sqref="A1:S1 V1:XFD2 A2:M2 D3:U3 H4:S4 D4:F10 H5:L11 A11:G11">
    <cfRule type="cellIs" dxfId="0" priority="5" operator="equal">
      <formula>"N/A"</formula>
    </cfRule>
  </conditionalFormatting>
  <printOptions horizontalCentered="1"/>
  <pageMargins left="0.23622047244094491" right="0.23622047244094491" top="0.74803149606299213" bottom="0.74803149606299213" header="0.31496062992125984" footer="0.31496062992125984"/>
  <pageSetup paperSize="9" scale="13" fitToHeight="0" orientation="landscape" r:id="rId1"/>
  <headerFooter>
    <oddFooter>&amp;L_x000D_&amp;1#&amp;"Aptos"&amp;8&amp;K0078D7 Sensitivity : This Document is Classified as "LNT Internal Use".</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31BBAB1-B988-4E34-B781-596D953E174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NCR Register</vt:lpstr>
      <vt:lpstr>'NCR Register'!Print_Area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Saurabh Singh</dc:creator>
  <cp:lastModifiedBy>SRISHTI TIWARI</cp:lastModifiedBy>
  <cp:lastPrinted>2024-05-16T06:33:11Z</cp:lastPrinted>
  <dcterms:created xsi:type="dcterms:W3CDTF">2022-09-17T03:53:53Z</dcterms:created>
  <dcterms:modified xsi:type="dcterms:W3CDTF">2026-08-10T11:45:39Z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f5f675-e19c-42bc-ba7f-4b550c3e2792_Enabled">
    <vt:lpwstr>true</vt:lpwstr>
  </property>
  <property fmtid="{D5CDD505-2E9C-101B-9397-08002B2CF9AE}" pid="3" name="MSIP_Label_d8f5f675-e19c-42bc-ba7f-4b550c3e2792_SetDate">
    <vt:lpwstr>2026-03-23T07:08:18Z</vt:lpwstr>
  </property>
  <property fmtid="{D5CDD505-2E9C-101B-9397-08002B2CF9AE}" pid="4" name="MSIP_Label_d8f5f675-e19c-42bc-ba7f-4b550c3e2792_Method">
    <vt:lpwstr>Standard</vt:lpwstr>
  </property>
  <property fmtid="{D5CDD505-2E9C-101B-9397-08002B2CF9AE}" pid="5" name="MSIP_Label_d8f5f675-e19c-42bc-ba7f-4b550c3e2792_Name">
    <vt:lpwstr>d8f5f675-e19c-42bc-ba7f-4b550c3e2792</vt:lpwstr>
  </property>
  <property fmtid="{D5CDD505-2E9C-101B-9397-08002B2CF9AE}" pid="6" name="MSIP_Label_d8f5f675-e19c-42bc-ba7f-4b550c3e2792_SiteId">
    <vt:lpwstr>4852d0fc-f87a-462b-ad09-773f986ccc04</vt:lpwstr>
  </property>
  <property fmtid="{D5CDD505-2E9C-101B-9397-08002B2CF9AE}" pid="7" name="MSIP_Label_d8f5f675-e19c-42bc-ba7f-4b550c3e2792_ActionId">
    <vt:lpwstr>f30847fb-00b7-419e-893b-a6e23b74d107</vt:lpwstr>
  </property>
  <property fmtid="{D5CDD505-2E9C-101B-9397-08002B2CF9AE}" pid="8" name="MSIP_Label_d8f5f675-e19c-42bc-ba7f-4b550c3e2792_ContentBits">
    <vt:lpwstr>2</vt:lpwstr>
  </property>
  <property fmtid="{D5CDD505-2E9C-101B-9397-08002B2CF9AE}" pid="9" name="MSIP_Label_d8f5f675-e19c-42bc-ba7f-4b550c3e2792_Tag">
    <vt:lpwstr>10, 3, 0, 1</vt:lpwstr>
  </property>
</Properties>
</file>